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66171568143cb" /></Relationships>
</file>

<file path=xl/workbook.xml><?xml version="1.0" encoding="utf-8"?>
<workbook xmlns="http://schemas.openxmlformats.org/spreadsheetml/2006/main" xmlns:r="http://schemas.openxmlformats.org/officeDocument/2006/relationships">
  <sheets>
    <sheet xmlns:r="http://schemas.openxmlformats.org/officeDocument/2006/relationships" name="Giao dich" sheetId="1" r:id="Ra4dc7484bd8a4437"/>
    <sheet xmlns:r="http://schemas.openxmlformats.org/officeDocument/2006/relationships" name="Tra cuu" sheetId="2" r:id="R6d257479ce05444f"/>
  </sheets>
  <calcPr fullCalcOnLoad="1"/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 xmlns:r="http://schemas.openxmlformats.org/officeDocument/2006/relationships">
  <numFmts count="2">
    <numFmt numFmtId="200" formatCode="#,##0"/>
    <numFmt numFmtId="201" formatCode="0.0%"/>
  </numFmts>
  <fonts count="18">
    <font>
      <sz val="11"/>
      <name val="Carlito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name val="Carlito"/>
    </font>
    <font>
      <sz val="14"/>
      <name val="Times New Roman"/>
      <b/>
      <color rgb="FF000000"/>
    </font>
    <font>
      <sz val="14"/>
      <name val="Times New Roman"/>
      <b/>
    </font>
    <font>
      <sz val="14"/>
      <name val="Times New Roman"/>
      <color rgb="FF000000"/>
    </font>
    <font>
      <sz val="14"/>
      <name val="Times New Roman"/>
    </font>
    <font>
      <name val="Calibri"/>
      <sz val="14"/>
      <b/>
      <color rgb="FF000000"/>
    </font>
    <font>
      <name val="Calibri"/>
      <sz val="14"/>
      <b/>
    </font>
    <font>
      <name val="Calibri"/>
      <sz val="14"/>
      <color rgb="FF000000"/>
    </font>
    <font>
      <name val="Calibri"/>
      <sz val="14"/>
    </font>
    <font>
      <sz val="14"/>
      <color rgb="FF000000"/>
      <name val="Calibri"/>
    </font>
    <font>
      <b/>
      <sz val="14"/>
      <color rgb="FF000000"/>
      <name val="Calibri"/>
    </font>
    <font>
      <b/>
      <sz val="14"/>
      <name val="Calibri"/>
    </font>
    <font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200" fontId="1" fillId="0" borderId="0" xfId="0" applyNumberFormat="1" applyFont="1" applyFill="1" applyBorder="1"/>
    <xf numFmtId="201" fontId="1" fillId="0" borderId="0" xfId="0" applyNumberFormat="1" applyFont="1" applyFill="1" applyBorder="1"/>
    <xf numFmtId="0" fontId="2" fillId="2" borderId="1" xfId="0" applyNumberFormat="1" applyFont="1" applyFill="1" applyBorder="1" applyAlignment="1">
      <alignment wrapText="1"/>
    </xf>
    <xf numFmtId="0" fontId="1" fillId="0" borderId="1" xfId="0" applyNumberFormat="1" applyFont="1" applyFill="1" applyBorder="1"/>
    <xf numFmtId="200" fontId="1" fillId="0" borderId="1" xfId="0" applyNumberFormat="1" applyFont="1" applyFill="1" applyBorder="1"/>
    <xf numFmtId="201" fontId="1" fillId="0" borderId="1" xfId="0" applyNumberFormat="1" applyFont="1" applyFill="1" applyBorder="1"/>
    <xf numFmtId="0" fontId="2" fillId="0" borderId="0" xfId="0" applyNumberFormat="1" applyFont="1" applyFill="1" applyBorder="1"/>
    <xf numFmtId="0" fontId="2" fillId="0" borderId="1" xfId="0" applyNumberFormat="1" applyFont="1" applyFill="1" applyBorder="1"/>
    <xf numFmtId="200" fontId="2" fillId="0" borderId="1" xfId="0" applyNumberFormat="1" applyFont="1" applyFill="1" applyBorder="1"/>
    <xf numFmtId="0" fontId="3" fillId="3" borderId="2" xfId="0" applyFont="1" applyFill="1" applyBorder="1" applyAlignment="1">
      <alignment wrapText="1"/>
    </xf>
    <xf numFmtId="0" fontId="4" fillId="0" borderId="2" xfId="0" applyFont="1" applyBorder="1"/>
    <xf numFmtId="0" fontId="3" fillId="3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0" fillId="0" borderId="5" xfId="0" applyBorder="1"/>
    <xf numFmtId="0" fontId="0" fillId="0" borderId="6" xfId="0" applyBorder="1"/>
    <xf numFmtId="0" fontId="4" fillId="0" borderId="3" xfId="0" applyFont="1" applyBorder="1"/>
    <xf numFmtId="0" fontId="1" fillId="0" borderId="4" xfId="0" applyFont="1" applyBorder="1"/>
    <xf numFmtId="200" fontId="1" fillId="0" borderId="4" xfId="0" applyNumberFormat="1" applyFont="1" applyBorder="1"/>
    <xf numFmtId="201" fontId="1" fillId="0" borderId="4" xfId="0" applyNumberFormat="1" applyFont="1" applyBorder="1"/>
    <xf numFmtId="0" fontId="0" fillId="0" borderId="7" xfId="0" applyBorder="1"/>
    <xf numFmtId="0" fontId="3" fillId="3" borderId="8" xfId="0" applyFont="1" applyFill="1" applyBorder="1" applyAlignment="1">
      <alignment wrapText="1"/>
    </xf>
    <xf numFmtId="0" fontId="5" fillId="0" borderId="2" xfId="0" applyFont="1" applyBorder="1"/>
    <xf numFmtId="0" fontId="3" fillId="3" borderId="9" xfId="0" applyFont="1" applyFill="1" applyBorder="1" applyAlignment="1">
      <alignment wrapText="1"/>
    </xf>
    <xf numFmtId="0" fontId="4" fillId="0" borderId="8" xfId="0" applyFont="1" applyBorder="1"/>
    <xf numFmtId="0" fontId="0" fillId="0" borderId="2" xfId="0" applyBorder="1" applyAlignment="1">
      <alignment horizontal="center"/>
    </xf>
    <xf numFmtId="0" fontId="4" fillId="0" borderId="9" xfId="0" applyFont="1" applyBorder="1"/>
    <xf numFmtId="0" fontId="6" fillId="3" borderId="2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6" fillId="3" borderId="9" xfId="0" applyFont="1" applyFill="1" applyBorder="1" applyAlignment="1">
      <alignment horizontal="center" wrapText="1"/>
    </xf>
    <xf numFmtId="0" fontId="8" fillId="0" borderId="2" xfId="0" applyFont="1" applyBorder="1"/>
    <xf numFmtId="0" fontId="8" fillId="0" borderId="8" xfId="0" applyFont="1" applyBorder="1"/>
    <xf numFmtId="0" fontId="9" fillId="0" borderId="2" xfId="0" applyFont="1" applyBorder="1" applyAlignment="1">
      <alignment horizontal="center"/>
    </xf>
    <xf numFmtId="0" fontId="8" fillId="0" borderId="9" xfId="0" applyFont="1" applyBorder="1"/>
    <xf numFmtId="0" fontId="3" fillId="2" borderId="10" xfId="0" applyFont="1" applyFill="1" applyBorder="1" applyAlignment="1">
      <alignment wrapText="1"/>
    </xf>
    <xf numFmtId="0" fontId="1" fillId="0" borderId="10" xfId="0" applyFont="1" applyBorder="1"/>
    <xf numFmtId="0" fontId="10" fillId="3" borderId="2" xfId="0" applyFont="1" applyFill="1" applyBorder="1" applyAlignment="1">
      <alignment horizontal="center" wrapText="1"/>
    </xf>
    <xf numFmtId="0" fontId="10" fillId="3" borderId="8" xfId="0" applyFont="1" applyFill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0" fillId="3" borderId="9" xfId="0" applyFont="1" applyFill="1" applyBorder="1" applyAlignment="1">
      <alignment horizontal="center" wrapText="1"/>
    </xf>
    <xf numFmtId="0" fontId="12" fillId="0" borderId="2" xfId="0" applyFont="1" applyBorder="1"/>
    <xf numFmtId="0" fontId="12" fillId="0" borderId="8" xfId="0" applyFont="1" applyBorder="1"/>
    <xf numFmtId="0" fontId="13" fillId="0" borderId="2" xfId="0" applyFont="1" applyBorder="1" applyAlignment="1">
      <alignment horizontal="center"/>
    </xf>
    <xf numFmtId="0" fontId="14" fillId="0" borderId="9" xfId="0" applyFont="1" applyBorder="1"/>
    <xf numFmtId="0" fontId="3" fillId="2" borderId="2" xfId="0" applyFont="1" applyFill="1" applyBorder="1" applyAlignment="1">
      <alignment wrapText="1"/>
    </xf>
    <xf numFmtId="0" fontId="14" fillId="0" borderId="2" xfId="0" applyFont="1" applyBorder="1"/>
    <xf numFmtId="0" fontId="12" fillId="0" borderId="2" xfId="0" applyFont="1" applyBorder="1" applyAlignment="1">
      <alignment horizontal="left"/>
    </xf>
    <xf numFmtId="0" fontId="14" fillId="0" borderId="8" xfId="0" applyFont="1" applyBorder="1"/>
    <xf numFmtId="0" fontId="15" fillId="3" borderId="2" xfId="0" applyFont="1" applyFill="1" applyBorder="1" applyAlignment="1">
      <alignment horizontal="center" wrapText="1"/>
    </xf>
    <xf numFmtId="0" fontId="15" fillId="3" borderId="8" xfId="0" applyFont="1" applyFill="1" applyBorder="1" applyAlignment="1">
      <alignment horizontal="center" wrapText="1"/>
    </xf>
    <xf numFmtId="0" fontId="16" fillId="0" borderId="2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0" fillId="3" borderId="4" xfId="0" applyFont="1" applyFill="1" applyBorder="1" applyAlignment="1">
      <alignment horizontal="center" wrapText="1"/>
    </xf>
    <xf numFmtId="0" fontId="14" fillId="0" borderId="2" xfId="0" applyFont="1" applyBorder="1" applyAlignment="1">
      <alignment horizontal="left"/>
    </xf>
    <xf numFmtId="0" fontId="13" fillId="0" borderId="8" xfId="0" applyFont="1" applyBorder="1" applyAlignment="1">
      <alignment horizontal="center"/>
    </xf>
    <xf numFmtId="0" fontId="14" fillId="0" borderId="4" xfId="0" applyFont="1" applyBorder="1"/>
    <xf numFmtId="0" fontId="17" fillId="0" borderId="2" xfId="0" applyFont="1" applyBorder="1" applyAlignment="1">
      <alignment horizontal="center"/>
    </xf>
    <xf numFmtId="0" fontId="14" fillId="0" borderId="11" xfId="0" applyFont="1" applyBorder="1" applyAlignment="1">
      <alignment horizontal="left"/>
    </xf>
    <xf numFmtId="0" fontId="14" fillId="0" borderId="12" xfId="0" applyFont="1" applyBorder="1"/>
    <xf numFmtId="0" fontId="0" fillId="0" borderId="4" xfId="0" applyBorder="1"/>
    <xf numFmtId="0" fontId="13" fillId="0" borderId="4" xfId="0" applyFont="1" applyBorder="1" applyAlignment="1">
      <alignment horizontal="center"/>
    </xf>
    <xf numFmtId="0" fontId="4" fillId="0" borderId="11" xfId="0" applyFont="1" applyBorder="1"/>
    <xf numFmtId="0" fontId="4" fillId="0" borderId="4" xfId="0" applyFont="1" applyBorder="1"/>
    <xf numFmtId="0" fontId="3" fillId="2" borderId="8" xfId="0" applyFont="1" applyFill="1" applyBorder="1" applyAlignment="1">
      <alignment wrapText="1"/>
    </xf>
    <xf numFmtId="0" fontId="14" fillId="0" borderId="8" xfId="0" applyFont="1" applyBorder="1" applyAlignment="1">
      <alignment horizontal="left"/>
    </xf>
    <xf numFmtId="0" fontId="14" fillId="0" borderId="12" xfId="0" applyFont="1" applyBorder="1" applyAlignment="1">
      <alignment horizontal="left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6e66a8180d4dcf" /><Relationship Type="http://schemas.openxmlformats.org/officeDocument/2006/relationships/theme" Target="/xl/theme/theme1.xml" Id="R579e100c5c504d72" /><Relationship Type="http://schemas.openxmlformats.org/officeDocument/2006/relationships/sharedStrings" Target="/xl/sharedStrings.xml" Id="R8f69802c6a104d56" /><Relationship Type="http://schemas.openxmlformats.org/officeDocument/2006/relationships/worksheet" Target="/xl/worksheets/sheet1.xml" Id="Ra4dc7484bd8a4437" /><Relationship Type="http://schemas.openxmlformats.org/officeDocument/2006/relationships/worksheet" Target="/xl/worksheets/sheet2.xml" Id="R6d257479ce0544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Z1000"/>
  <sheetViews>
    <sheetView workbookViewId="0">
      <pane ySplit="1" topLeftCell="A2" activePane="bottomLeft" state="frozen"/>
    </sheetView>
  </sheetViews>
  <sheetFormatPr defaultRowHeight="15"/>
  <cols>
    <col min="1" max="1" width="17" hidden="0" customWidth="1"/>
    <col min="2" max="2" width="18" hidden="0" customWidth="1"/>
    <col min="3" max="3" width="18" hidden="0" customWidth="1"/>
    <col min="4" max="4" width="18" hidden="0" customWidth="1"/>
    <col min="5" max="5" width="18" hidden="0" customWidth="1"/>
    <col min="6" max="6" width="16" hidden="0" customWidth="1"/>
    <col min="7" max="7" width="16" hidden="0" customWidth="1"/>
    <col min="8" max="8" width="16" hidden="0" customWidth="1"/>
    <col min="9" max="9" width="20" hidden="0" customWidth="1"/>
    <col min="10" max="10" width="20" hidden="0" customWidth="1"/>
  </cols>
  <sheetData>
    <row r="1">
      <c r="A1" s="53" t="inlineStr">
        <is>
          <t xml:space="preserve">Ma GD</t>
        </is>
      </c>
      <c r="B1" s="54" t="inlineStr">
        <is>
          <t xml:space="preserve">So tien</t>
        </is>
      </c>
      <c r="C1" s="55" t="inlineStr">
        <is>
          <t xml:space="preserve">Khach hang</t>
        </is>
      </c>
      <c r="D1" s="57"/>
      <c r="E1" s="17"/>
      <c r="F1" s="17"/>
      <c r="G1" s="17"/>
      <c r="H1" s="17"/>
      <c r="I1" s="18"/>
      <c r="J1" s="17"/>
      <c r="K1" s="19"/>
    </row>
    <row r="2">
      <c r="A2" s="58" t="inlineStr">
        <is>
          <t xml:space="preserve">TC001</t>
        </is>
      </c>
      <c r="B2" s="52">
        <v>150000</v>
      </c>
      <c r="C2" s="61" t="inlineStr">
        <is>
          <t xml:space="preserve">A</t>
        </is>
      </c>
      <c r="D2" s="60"/>
      <c r="E2" s="21"/>
      <c r="F2" s="22"/>
      <c r="G2" s="23"/>
      <c r="H2" s="22"/>
      <c r="I2" s="18"/>
      <c r="J2" s="21"/>
      <c r="K2" s="19"/>
    </row>
    <row r="3">
      <c r="A3" s="58" t="inlineStr">
        <is>
          <t xml:space="preserve">TC002</t>
        </is>
      </c>
      <c r="B3" s="52">
        <v>200000</v>
      </c>
      <c r="C3" s="61" t="inlineStr">
        <is>
          <t xml:space="preserve">B</t>
        </is>
      </c>
      <c r="D3" s="60"/>
      <c r="E3" s="21"/>
      <c r="F3" s="22"/>
      <c r="G3" s="23"/>
      <c r="H3" s="22"/>
      <c r="I3" s="18"/>
      <c r="J3" s="21"/>
      <c r="K3" s="19"/>
    </row>
    <row r="4">
      <c r="A4" s="58" t="inlineStr">
        <is>
          <t xml:space="preserve">TC003</t>
        </is>
      </c>
      <c r="B4" s="52">
        <v>250000</v>
      </c>
      <c r="C4" s="61" t="inlineStr">
        <is>
          <t xml:space="preserve">C</t>
        </is>
      </c>
      <c r="D4" s="60"/>
      <c r="E4" s="21"/>
      <c r="F4" s="22"/>
      <c r="G4" s="23"/>
      <c r="H4" s="22"/>
      <c r="I4" s="18"/>
      <c r="J4" s="21"/>
      <c r="K4" s="19"/>
    </row>
    <row r="5">
      <c r="A5" s="62" t="inlineStr">
        <is>
          <t xml:space="preserve">TC004</t>
        </is>
      </c>
      <c r="B5" s="63">
        <v>100000</v>
      </c>
      <c r="C5" s="61" t="inlineStr">
        <is>
          <t xml:space="preserve">D</t>
        </is>
      </c>
      <c r="D5" s="60"/>
      <c r="E5" s="21"/>
      <c r="F5" s="22"/>
      <c r="G5" s="23"/>
      <c r="H5" s="22"/>
      <c r="I5" s="18"/>
      <c r="J5" s="21"/>
      <c r="K5" s="19"/>
    </row>
    <row r="6">
      <c r="A6" s="58" t="inlineStr">
        <is>
          <t xml:space="preserve">TC005</t>
        </is>
      </c>
      <c r="B6" s="52">
        <v>150000</v>
      </c>
      <c r="C6" s="61" t="inlineStr">
        <is>
          <t xml:space="preserve">E</t>
        </is>
      </c>
      <c r="D6" s="60"/>
      <c r="E6" s="21"/>
      <c r="F6" s="22"/>
      <c r="G6" s="23"/>
      <c r="H6" s="22"/>
      <c r="I6" s="18"/>
      <c r="J6" s="21"/>
      <c r="K6" s="19"/>
    </row>
    <row r="7">
      <c r="A7" s="64"/>
      <c r="B7" s="60"/>
      <c r="C7" s="65"/>
      <c r="D7" s="60"/>
      <c r="E7" s="21"/>
      <c r="F7" s="22"/>
      <c r="G7" s="23"/>
      <c r="H7" s="22"/>
      <c r="I7" s="18"/>
      <c r="J7" s="21"/>
      <c r="K7" s="19"/>
    </row>
    <row r="8">
      <c r="A8" s="24"/>
      <c r="B8" s="24"/>
      <c r="C8" s="24"/>
      <c r="D8" s="24"/>
      <c r="E8" s="24"/>
      <c r="F8" s="24"/>
      <c r="G8" s="24"/>
      <c r="H8" s="24"/>
      <c r="J8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</sheetView>
  </sheetViews>
  <sheetFormatPr defaultRowHeight="15"/>
  <cols>
    <col min="1" max="1" width="22" hidden="0" customWidth="1"/>
    <col min="2" max="2" width="22" hidden="0" customWidth="1"/>
    <col min="3" max="3" width="22" hidden="0" customWidth="1"/>
  </cols>
  <sheetData>
    <row r="1">
      <c r="A1" s="68" t="inlineStr">
        <is>
          <t xml:space="preserve">Ma GD</t>
        </is>
      </c>
      <c r="B1" s="14" t="inlineStr">
        <is>
          <t xml:space="preserve">Ten nguoi dung</t>
        </is>
      </c>
      <c r="C1" s="19"/>
    </row>
    <row r="2">
      <c r="A2" s="69" t="inlineStr">
        <is>
          <t xml:space="preserve">TC001</t>
        </is>
      </c>
      <c r="B2" s="15">
        <f>VLOOKUP(TRIM(A2),'Giao dich'!$A$1:D7  ,2,0)</f>
      </c>
      <c r="C2" s="19"/>
    </row>
    <row r="3">
      <c r="A3" s="69" t="inlineStr">
        <is>
          <t xml:space="preserve">TC002</t>
        </is>
      </c>
      <c r="B3" s="15">
        <f>VLOOKUP(TRIM(A3),'Giao dich'!$A$1:D8,2,0)</f>
      </c>
      <c r="C3" s="19"/>
    </row>
    <row r="4">
      <c r="A4" s="69" t="inlineStr">
        <is>
          <t xml:space="preserve">TC003</t>
        </is>
      </c>
      <c r="B4" s="15">
        <f>VLOOKUP(TRIM(A4),'Giao dich'!$A$1:D9,2,0)</f>
      </c>
      <c r="C4" s="19"/>
    </row>
    <row r="5">
      <c r="A5" s="70" t="inlineStr">
        <is>
          <t xml:space="preserve">TC004</t>
        </is>
      </c>
      <c r="B5" s="15">
        <f>VLOOKUP(TRIM(A5),'Giao dich'!$A$1:D10,2,0)</f>
      </c>
      <c r="C5" s="19"/>
    </row>
    <row r="6">
      <c r="A6" s="69" t="inlineStr">
        <is>
          <t xml:space="preserve">TC005</t>
        </is>
      </c>
      <c r="B6" s="15">
        <f>VLOOKUP(TRIM(A6),'Giao dich'!$A$1:D11,2,0)</f>
      </c>
      <c r="C6" s="19"/>
    </row>
    <row r="7">
      <c r="A7" s="60"/>
      <c r="B7" s="67"/>
      <c r="C7" s="19"/>
    </row>
    <row r="8">
      <c r="A8" s="24"/>
      <c r="B8" s="24"/>
    </row>
  </sheetData>
  <pageMargins left="0.7" right="0.7" top="0.75" bottom="0.75" header="0.3" footer="0.3"/>
</worksheet>
</file>